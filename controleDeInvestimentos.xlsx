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e67728b39f05e/2. Areas/estudosDeDS/Santander - Excel com Inteligência Artificial_2_Semestre/"/>
    </mc:Choice>
  </mc:AlternateContent>
  <xr:revisionPtr revIDLastSave="284" documentId="8_{CB5D14E5-EAD0-466C-BF29-A57EA32203D2}" xr6:coauthVersionLast="47" xr6:coauthVersionMax="47" xr10:uidLastSave="{DB22B175-9911-4BD0-9BDB-256073DBF4D4}"/>
  <bookViews>
    <workbookView xWindow="-120" yWindow="-120" windowWidth="29040" windowHeight="15840" xr2:uid="{7868C214-E002-48FE-ACDC-ACE9481AB3CC}"/>
  </bookViews>
  <sheets>
    <sheet name="Planilha1" sheetId="1" r:id="rId1"/>
    <sheet name="Planilha2" sheetId="2" r:id="rId2"/>
  </sheets>
  <definedNames>
    <definedName name="aporte">Planilha1!$C$18</definedName>
    <definedName name="dividendos">Planilha1!$C$22</definedName>
    <definedName name="patrimonio">Planilha1!$C$21</definedName>
    <definedName name="qtd_anos">Planilha1!$C$19</definedName>
    <definedName name="rendimento_carteira">Planilha1!$C$13</definedName>
    <definedName name="tx_mensal">Planilha1!$C$20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D40" i="1" s="1"/>
  <c r="C41" i="1"/>
  <c r="C36" i="1"/>
  <c r="D21" i="2"/>
  <c r="D22" i="2"/>
  <c r="D23" i="2"/>
  <c r="D24" i="2"/>
  <c r="D25" i="2"/>
  <c r="D26" i="2"/>
  <c r="D15" i="2"/>
  <c r="D16" i="2"/>
  <c r="D17" i="2"/>
  <c r="D18" i="2"/>
  <c r="D19" i="2"/>
  <c r="D20" i="2"/>
  <c r="D10" i="2"/>
  <c r="D11" i="2"/>
  <c r="D12" i="2"/>
  <c r="D13" i="2"/>
  <c r="D14" i="2"/>
  <c r="D9" i="2"/>
  <c r="D33" i="1"/>
  <c r="C21" i="1"/>
  <c r="C22" i="1" s="1"/>
  <c r="C27" i="1"/>
  <c r="D27" i="1" s="1"/>
  <c r="C28" i="1"/>
  <c r="D28" i="1" s="1"/>
  <c r="C29" i="1"/>
  <c r="D29" i="1" s="1"/>
  <c r="C30" i="1"/>
  <c r="D30" i="1" s="1"/>
  <c r="C26" i="1"/>
  <c r="D26" i="1" s="1"/>
  <c r="C14" i="1"/>
  <c r="D39" i="1" l="1"/>
  <c r="D36" i="1"/>
  <c r="D38" i="1"/>
  <c r="D41" i="1"/>
  <c r="D37" i="1"/>
</calcChain>
</file>

<file path=xl/sharedStrings.xml><?xml version="1.0" encoding="utf-8"?>
<sst xmlns="http://schemas.openxmlformats.org/spreadsheetml/2006/main" count="69" uniqueCount="35">
  <si>
    <t>INVESTIMENTO MENSAL</t>
  </si>
  <si>
    <t>Quanto invetsir por mês?</t>
  </si>
  <si>
    <t>Por quantos anos?</t>
  </si>
  <si>
    <t>Taxa de rendimento mensal?</t>
  </si>
  <si>
    <t>Patrimônio acumulado?</t>
  </si>
  <si>
    <t>Dividendos mensais?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</si>
  <si>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</si>
  <si>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</si>
  <si>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</si>
  <si>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</si>
  <si>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</si>
  <si>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</si>
  <si>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</si>
  <si>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</si>
  <si>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Salário</t>
  </si>
  <si>
    <t>Rendimento da Carteira</t>
  </si>
  <si>
    <t>Sugestão de Investimento</t>
  </si>
  <si>
    <t>Perfil</t>
  </si>
  <si>
    <t>VALOR A SER INVESTIDO POR MÊS</t>
  </si>
  <si>
    <t>Moderado</t>
  </si>
  <si>
    <t>TIPO DE PERFIL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</si>
  <si>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</si>
  <si>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</si>
  <si>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</si>
  <si>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</si>
  <si>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</si>
  <si>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</si>
  <si>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</si>
  <si>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</si>
  <si>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</si>
  <si>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PERFIL</t>
  </si>
  <si>
    <t>TIPO DE FII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</si>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</sst>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thin">
        <color theme="2"/>
      </right>
      <top style="medium">
        <color indexed="64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indexed="64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indexed="64"/>
      </right>
      <top style="thin">
        <color auto="1"/>
      </top>
      <bottom style="thin">
        <color theme="2" tint="-9.9948118533890809E-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2" fillId="3" borderId="7" xfId="0" applyFont="1" applyFill="1" applyBorder="1"/>
    <xf numFmtId="0" fontId="2" fillId="3" borderId="9" xfId="0" applyFont="1" applyFill="1" applyBorder="1"/>
    <xf numFmtId="10" fontId="2" fillId="0" borderId="8" xfId="0" applyNumberFormat="1" applyFont="1" applyBorder="1" applyAlignment="1">
      <alignment horizontal="center"/>
    </xf>
    <xf numFmtId="44" fontId="2" fillId="0" borderId="6" xfId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8" fontId="2" fillId="3" borderId="8" xfId="0" applyNumberFormat="1" applyFont="1" applyFill="1" applyBorder="1"/>
    <xf numFmtId="8" fontId="2" fillId="3" borderId="10" xfId="0" applyNumberFormat="1" applyFont="1" applyFill="1" applyBorder="1"/>
    <xf numFmtId="0" fontId="3" fillId="0" borderId="0" xfId="0" applyFont="1"/>
    <xf numFmtId="8" fontId="5" fillId="0" borderId="12" xfId="0" applyNumberFormat="1" applyFont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5" fillId="0" borderId="16" xfId="0" applyFont="1" applyBorder="1"/>
    <xf numFmtId="8" fontId="5" fillId="0" borderId="17" xfId="0" applyNumberFormat="1" applyFont="1" applyBorder="1"/>
    <xf numFmtId="0" fontId="5" fillId="0" borderId="18" xfId="0" applyFont="1" applyBorder="1"/>
    <xf numFmtId="8" fontId="5" fillId="0" borderId="19" xfId="0" applyNumberFormat="1" applyFont="1" applyBorder="1"/>
    <xf numFmtId="8" fontId="5" fillId="0" borderId="20" xfId="0" applyNumberFormat="1" applyFont="1" applyBorder="1"/>
    <xf numFmtId="0" fontId="0" fillId="0" borderId="23" xfId="0" applyBorder="1"/>
    <xf numFmtId="0" fontId="0" fillId="0" borderId="3" xfId="0" applyBorder="1"/>
    <xf numFmtId="10" fontId="0" fillId="0" borderId="2" xfId="0" applyNumberFormat="1" applyBorder="1"/>
    <xf numFmtId="0" fontId="0" fillId="0" borderId="11" xfId="0" applyBorder="1"/>
    <xf numFmtId="44" fontId="0" fillId="0" borderId="11" xfId="0" applyNumberFormat="1" applyBorder="1"/>
    <xf numFmtId="44" fontId="0" fillId="0" borderId="0" xfId="0" applyNumberFormat="1"/>
    <xf numFmtId="164" fontId="0" fillId="0" borderId="24" xfId="1" applyNumberFormat="1" applyFont="1" applyBorder="1"/>
    <xf numFmtId="164" fontId="0" fillId="0" borderId="4" xfId="0" applyNumberFormat="1" applyBorder="1"/>
    <xf numFmtId="0" fontId="4" fillId="2" borderId="11" xfId="0" applyFont="1" applyFill="1" applyBorder="1" applyAlignment="1">
      <alignment horizontal="left"/>
    </xf>
    <xf numFmtId="0" fontId="4" fillId="4" borderId="21" xfId="0" applyFont="1" applyFill="1" applyBorder="1" applyAlignment="1">
      <alignment horizontal="left"/>
    </xf>
    <xf numFmtId="0" fontId="4" fillId="4" borderId="22" xfId="0" applyFont="1" applyFill="1" applyBorder="1" applyAlignment="1">
      <alignment horizontal="left"/>
    </xf>
    <xf numFmtId="0" fontId="5" fillId="0" borderId="0" xfId="0" applyFont="1" applyFill="1" applyBorder="1"/>
    <xf numFmtId="0" fontId="6" fillId="5" borderId="0" xfId="3" applyBorder="1"/>
    <xf numFmtId="0" fontId="6" fillId="5" borderId="0" xfId="3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9" fontId="0" fillId="0" borderId="0" xfId="2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142876</xdr:colOff>
      <xdr:row>0</xdr:row>
      <xdr:rowOff>171451</xdr:rowOff>
    </xdr:from>
    <xdr:to>
      <xdr:col>3</xdr:col>
      <xdr:colOff>1104900</xdr:colOff>
      <xdr:row>7</xdr:row>
      <xdr:rowOff>140495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2354AF0-3143-D756-A3A3-5D4C70AF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171451"/>
          <a:ext cx="5210174" cy="130254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1E9D-E3AB-4C75-8CB4-1EE37F34C215}">
  <dimension ref="A10:D42"/>
  <sheetViews>
    <sheetView showGridLines="0" tabSelected="1" topLeftCell="A8" zoomScale="120" zoomScaleNormal="120" workbookViewId="0">
      <selection activeCell="C20" sqref="C20"/>
    </sheetView>
  </sheetViews>
  <sheetFormatPr defaultRowHeight="15" x14ac:dyDescent="0.25"/>
  <cols>
    <col min="1" max="1" width="4.42578125" customWidth="1"/>
    <col min="2" max="2" width="35.140625" customWidth="1"/>
    <col min="3" max="3" width="24.140625" customWidth="1"/>
    <col min="4" max="4" width="18" bestFit="1" customWidth="1"/>
    <col min="5" max="5" width="23.7109375" bestFit="1" customWidth="1"/>
    <col min="6" max="6" width="13.140625" customWidth="1"/>
  </cols>
  <sheetData>
    <row r="10" spans="2:3" ht="15.75" thickBot="1" x14ac:dyDescent="0.3"/>
    <row r="11" spans="2:3" ht="26.25" x14ac:dyDescent="0.4">
      <c r="B11" s="30" t="s">
        <v>13</v>
      </c>
      <c r="C11" s="31"/>
    </row>
    <row r="12" spans="2:3" x14ac:dyDescent="0.25">
      <c r="B12" s="21" t="s">
        <v>14</v>
      </c>
      <c r="C12" s="27">
        <v>4200</v>
      </c>
    </row>
    <row r="13" spans="2:3" x14ac:dyDescent="0.25">
      <c r="B13" s="1" t="s">
        <v>15</v>
      </c>
      <c r="C13" s="23">
        <v>0.01</v>
      </c>
    </row>
    <row r="14" spans="2:3" ht="20.25" customHeight="1" thickBot="1" x14ac:dyDescent="0.3">
      <c r="B14" s="22" t="s">
        <v>16</v>
      </c>
      <c r="C14" s="28">
        <f>C12*30%</f>
        <v>1260</v>
      </c>
    </row>
    <row r="15" spans="2:3" ht="20.25" customHeight="1" x14ac:dyDescent="0.25">
      <c r="C15" s="26"/>
    </row>
    <row r="16" spans="2:3" ht="20.25" customHeight="1" thickBot="1" x14ac:dyDescent="0.3">
      <c r="B16" s="24"/>
      <c r="C16" s="25"/>
    </row>
    <row r="17" spans="1:4" ht="27" thickBot="1" x14ac:dyDescent="0.45">
      <c r="B17" s="29" t="s">
        <v>0</v>
      </c>
      <c r="C17" s="29"/>
    </row>
    <row r="18" spans="1:4" x14ac:dyDescent="0.25">
      <c r="B18" s="2" t="s">
        <v>1</v>
      </c>
      <c r="C18" s="7">
        <v>500</v>
      </c>
    </row>
    <row r="19" spans="1:4" x14ac:dyDescent="0.25">
      <c r="B19" s="3" t="s">
        <v>2</v>
      </c>
      <c r="C19" s="8">
        <v>5</v>
      </c>
    </row>
    <row r="20" spans="1:4" x14ac:dyDescent="0.25">
      <c r="B20" s="3" t="s">
        <v>3</v>
      </c>
      <c r="C20" s="6">
        <v>1.0800000000000001E-2</v>
      </c>
    </row>
    <row r="21" spans="1:4" x14ac:dyDescent="0.25">
      <c r="B21" s="4" t="s">
        <v>4</v>
      </c>
      <c r="C21" s="9">
        <f>FV(tx_mensal,qtd_anos*12,aporte*-1)</f>
        <v>41902.00967962922</v>
      </c>
    </row>
    <row r="22" spans="1:4" ht="15.75" thickBot="1" x14ac:dyDescent="0.3">
      <c r="B22" s="5" t="s">
        <v>5</v>
      </c>
      <c r="C22" s="10">
        <f>patrimonio*rendimento_carteira</f>
        <v>419.02009679629219</v>
      </c>
    </row>
    <row r="24" spans="1:4" ht="15.75" thickBot="1" x14ac:dyDescent="0.3"/>
    <row r="25" spans="1:4" ht="26.25" x14ac:dyDescent="0.4">
      <c r="A25" s="11">
        <v>2</v>
      </c>
      <c r="B25" s="13" t="s">
        <v>6</v>
      </c>
      <c r="C25" s="14"/>
      <c r="D25" s="15" t="s">
        <v>12</v>
      </c>
    </row>
    <row r="26" spans="1:4" x14ac:dyDescent="0.25">
      <c r="A26" s="11">
        <v>5</v>
      </c>
      <c r="B26" s="16" t="s">
        <v>7</v>
      </c>
      <c r="C26" s="12">
        <f>FV($C$13,$A25*12,$C$18*-1)</f>
        <v>13486.732426595749</v>
      </c>
      <c r="D26" s="17">
        <f>C26*rendimento_carteira</f>
        <v>134.86732426595748</v>
      </c>
    </row>
    <row r="27" spans="1:4" x14ac:dyDescent="0.25">
      <c r="A27" s="11">
        <v>10</v>
      </c>
      <c r="B27" s="16" t="s">
        <v>8</v>
      </c>
      <c r="C27" s="12">
        <f>FV($C$13,$A26*12,$C$18*-1)</f>
        <v>40834.834928204567</v>
      </c>
      <c r="D27" s="17">
        <f>C27*rendimento_carteira</f>
        <v>408.34834928204566</v>
      </c>
    </row>
    <row r="28" spans="1:4" x14ac:dyDescent="0.25">
      <c r="A28" s="11">
        <v>20</v>
      </c>
      <c r="B28" s="16" t="s">
        <v>9</v>
      </c>
      <c r="C28" s="12">
        <f>FV($C$13,$A27*12,$C$18*-1)</f>
        <v>115019.34472868349</v>
      </c>
      <c r="D28" s="17">
        <f>C28*rendimento_carteira</f>
        <v>1150.193447286835</v>
      </c>
    </row>
    <row r="29" spans="1:4" x14ac:dyDescent="0.25">
      <c r="A29" s="11">
        <v>30</v>
      </c>
      <c r="B29" s="16" t="s">
        <v>10</v>
      </c>
      <c r="C29" s="12">
        <f>FV($C$13,$A28*12,$C$18*-1)</f>
        <v>494627.68269368151</v>
      </c>
      <c r="D29" s="17">
        <f>C29*rendimento_carteira</f>
        <v>4946.2768269368153</v>
      </c>
    </row>
    <row r="30" spans="1:4" ht="15.75" thickBot="1" x14ac:dyDescent="0.3">
      <c r="B30" s="18" t="s">
        <v>11</v>
      </c>
      <c r="C30" s="19">
        <f>FV($C$13,$A29*12,$C$18*-1)</f>
        <v>1747482.0663842531</v>
      </c>
      <c r="D30" s="20">
        <f>C30*rendimento_carteira</f>
        <v>17474.820663842533</v>
      </c>
    </row>
    <row r="32" spans="1:4" x14ac:dyDescent="0.25">
      <c r="B32" s="33" t="s">
        <v>17</v>
      </c>
      <c r="C32" s="34"/>
      <c r="D32" s="34" t="s">
        <v>33</v>
      </c>
    </row>
    <row r="33" spans="2:4" x14ac:dyDescent="0.25">
      <c r="B33" s="32" t="s">
        <v>18</v>
      </c>
      <c r="D33" s="35">
        <f>aporte</f>
        <v>500</v>
      </c>
    </row>
    <row r="35" spans="2:4" x14ac:dyDescent="0.25">
      <c r="B35" s="37" t="s">
        <v>20</v>
      </c>
      <c r="C35" s="37" t="s">
        <v>21</v>
      </c>
      <c r="D35" s="37" t="s">
        <v>22</v>
      </c>
    </row>
    <row r="36" spans="2:4" x14ac:dyDescent="0.25">
      <c r="B36" t="s">
        <v>23</v>
      </c>
      <c r="C36" s="38">
        <f>VLOOKUP($D$32&amp;"-"&amp;B36,Planilha2!D:G,4,FALSE)</f>
        <v>0.3</v>
      </c>
      <c r="D36" s="35">
        <f>$D$33*C36</f>
        <v>150</v>
      </c>
    </row>
    <row r="37" spans="2:4" x14ac:dyDescent="0.25">
      <c r="B37" t="s">
        <v>24</v>
      </c>
      <c r="C37" s="38">
        <f>VLOOKUP($D$32&amp;"-"&amp;B37,Planilha2!D:G,4,FALSE)</f>
        <v>0.5</v>
      </c>
      <c r="D37" s="35">
        <f t="shared" ref="D37:D41" si="0">$D$33*C37</f>
        <v>250</v>
      </c>
    </row>
    <row r="38" spans="2:4" x14ac:dyDescent="0.25">
      <c r="B38" t="s">
        <v>25</v>
      </c>
      <c r="C38" s="38">
        <f>VLOOKUP($D$32&amp;"-"&amp;B38,Planilha2!D:G,4,FALSE)</f>
        <v>0.1</v>
      </c>
      <c r="D38" s="35">
        <f t="shared" si="0"/>
        <v>50</v>
      </c>
    </row>
    <row r="39" spans="2:4" x14ac:dyDescent="0.25">
      <c r="B39" t="s">
        <v>26</v>
      </c>
      <c r="C39" s="38">
        <f>VLOOKUP($D$32&amp;"-"&amp;B39,Planilha2!D:G,4,FALSE)</f>
        <v>0.1</v>
      </c>
      <c r="D39" s="35">
        <f t="shared" si="0"/>
        <v>50</v>
      </c>
    </row>
    <row r="40" spans="2:4" x14ac:dyDescent="0.25">
      <c r="B40" t="s">
        <v>27</v>
      </c>
      <c r="C40" s="38">
        <f>VLOOKUP($D$32&amp;"-"&amp;B40,Planilha2!D:G,4,FALSE)</f>
        <v>0</v>
      </c>
      <c r="D40" s="35">
        <f t="shared" si="0"/>
        <v>0</v>
      </c>
    </row>
    <row r="41" spans="2:4" x14ac:dyDescent="0.25">
      <c r="B41" t="s">
        <v>28</v>
      </c>
      <c r="C41" s="38">
        <f>VLOOKUP($D$32&amp;"-"&amp;B41,Planilha2!D:G,4,FALSE)</f>
        <v>0</v>
      </c>
      <c r="D41" s="35">
        <f t="shared" si="0"/>
        <v>0</v>
      </c>
    </row>
    <row r="42" spans="2:4" x14ac:dyDescent="0.25">
      <c r="B42" s="36"/>
      <c r="C42" s="36"/>
      <c r="D42" s="36"/>
    </row>
  </sheetData>
  <mergeCells count="2">
    <mergeCell ref="B17:C17"/>
    <mergeCell ref="B11:C11"/>
  </mergeCells>
  <dataValidations count="1">
    <dataValidation type="list" allowBlank="1" showInputMessage="1" showErrorMessage="1" sqref="D32" xr:uid="{CDA63EF8-F343-40A5-ACDD-2779A30AEB1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A59F-6E44-46B7-BA21-D92D3095CD1B}">
  <dimension ref="D8:G26"/>
  <sheetViews>
    <sheetView workbookViewId="0">
      <selection activeCell="L11" sqref="L11"/>
    </sheetView>
  </sheetViews>
  <sheetFormatPr defaultRowHeight="15" x14ac:dyDescent="0.25"/>
  <cols>
    <col min="4" max="4" width="30.85546875" bestFit="1" customWidth="1"/>
    <col min="5" max="5" width="12.140625" bestFit="1" customWidth="1"/>
    <col min="6" max="6" width="18.5703125" bestFit="1" customWidth="1"/>
  </cols>
  <sheetData>
    <row r="8" spans="4:7" x14ac:dyDescent="0.25">
      <c r="D8" t="s">
        <v>29</v>
      </c>
      <c r="E8" t="s">
        <v>30</v>
      </c>
      <c r="F8" t="s">
        <v>31</v>
      </c>
      <c r="G8" s="39" t="s">
        <v>32</v>
      </c>
    </row>
    <row r="9" spans="4:7" x14ac:dyDescent="0.25">
      <c r="D9" t="str">
        <f>E9&amp;"-"&amp;F9</f>
        <v>Conservador-PAPEL</v>
      </c>
      <c r="E9" t="s">
        <v>33</v>
      </c>
      <c r="F9" t="s">
        <v>23</v>
      </c>
      <c r="G9" s="40">
        <v>0.3</v>
      </c>
    </row>
    <row r="10" spans="4:7" x14ac:dyDescent="0.25">
      <c r="D10" t="str">
        <f t="shared" ref="D10:D26" si="0">E10&amp;"-"&amp;F10</f>
        <v>Conservador-TIJOLO</v>
      </c>
      <c r="E10" t="s">
        <v>33</v>
      </c>
      <c r="F10" t="s">
        <v>24</v>
      </c>
      <c r="G10" s="40">
        <v>0.5</v>
      </c>
    </row>
    <row r="11" spans="4:7" x14ac:dyDescent="0.25">
      <c r="D11" t="str">
        <f t="shared" si="0"/>
        <v>Conservador-HÍBRIDOS</v>
      </c>
      <c r="E11" t="s">
        <v>33</v>
      </c>
      <c r="F11" t="s">
        <v>25</v>
      </c>
      <c r="G11" s="40">
        <v>0.1</v>
      </c>
    </row>
    <row r="12" spans="4:7" x14ac:dyDescent="0.25">
      <c r="D12" t="str">
        <f t="shared" si="0"/>
        <v>Conservador-FOFs</v>
      </c>
      <c r="E12" t="s">
        <v>33</v>
      </c>
      <c r="F12" t="s">
        <v>26</v>
      </c>
      <c r="G12" s="40">
        <v>0.1</v>
      </c>
    </row>
    <row r="13" spans="4:7" x14ac:dyDescent="0.25">
      <c r="D13" t="str">
        <f t="shared" si="0"/>
        <v>Conservador-DESENVOLVIMENTO</v>
      </c>
      <c r="E13" t="s">
        <v>33</v>
      </c>
      <c r="F13" t="s">
        <v>27</v>
      </c>
      <c r="G13" s="40">
        <v>0</v>
      </c>
    </row>
    <row r="14" spans="4:7" ht="15.75" thickBot="1" x14ac:dyDescent="0.3">
      <c r="D14" s="24" t="str">
        <f t="shared" si="0"/>
        <v>Conservador-HOTELARIAS</v>
      </c>
      <c r="E14" s="24" t="s">
        <v>33</v>
      </c>
      <c r="F14" s="24" t="s">
        <v>28</v>
      </c>
      <c r="G14" s="41">
        <v>0</v>
      </c>
    </row>
    <row r="15" spans="4:7" x14ac:dyDescent="0.25">
      <c r="D15" t="str">
        <f t="shared" si="0"/>
        <v>Moderado-PAPEL</v>
      </c>
      <c r="E15" t="s">
        <v>19</v>
      </c>
      <c r="F15" t="s">
        <v>23</v>
      </c>
      <c r="G15" s="40">
        <v>0.32</v>
      </c>
    </row>
    <row r="16" spans="4:7" x14ac:dyDescent="0.25">
      <c r="D16" t="str">
        <f t="shared" si="0"/>
        <v>Moderado-TIJOLO</v>
      </c>
      <c r="E16" t="s">
        <v>19</v>
      </c>
      <c r="F16" t="s">
        <v>24</v>
      </c>
      <c r="G16" s="40">
        <v>0.4</v>
      </c>
    </row>
    <row r="17" spans="4:7" x14ac:dyDescent="0.25">
      <c r="D17" t="str">
        <f t="shared" si="0"/>
        <v>Moderado-HÍBRIDOS</v>
      </c>
      <c r="E17" t="s">
        <v>19</v>
      </c>
      <c r="F17" t="s">
        <v>25</v>
      </c>
      <c r="G17" s="40">
        <v>0.08</v>
      </c>
    </row>
    <row r="18" spans="4:7" x14ac:dyDescent="0.25">
      <c r="D18" t="str">
        <f t="shared" si="0"/>
        <v>Moderado-FOFs</v>
      </c>
      <c r="E18" t="s">
        <v>19</v>
      </c>
      <c r="F18" t="s">
        <v>26</v>
      </c>
      <c r="G18" s="40">
        <v>0.1</v>
      </c>
    </row>
    <row r="19" spans="4:7" x14ac:dyDescent="0.25">
      <c r="D19" t="str">
        <f t="shared" si="0"/>
        <v>Moderado-DESENVOLVIMENTO</v>
      </c>
      <c r="E19" t="s">
        <v>19</v>
      </c>
      <c r="F19" t="s">
        <v>27</v>
      </c>
      <c r="G19" s="40">
        <v>0</v>
      </c>
    </row>
    <row r="20" spans="4:7" ht="15.75" thickBot="1" x14ac:dyDescent="0.3">
      <c r="D20" s="24" t="str">
        <f t="shared" si="0"/>
        <v>Moderado-HOTELARIAS</v>
      </c>
      <c r="E20" s="24" t="s">
        <v>19</v>
      </c>
      <c r="F20" s="24" t="s">
        <v>28</v>
      </c>
      <c r="G20" s="41">
        <v>0.1</v>
      </c>
    </row>
    <row r="21" spans="4:7" x14ac:dyDescent="0.25">
      <c r="D21" t="str">
        <f t="shared" si="0"/>
        <v>Agressivo-PAPEL</v>
      </c>
      <c r="E21" t="s">
        <v>34</v>
      </c>
      <c r="F21" t="s">
        <v>23</v>
      </c>
      <c r="G21" s="40">
        <v>0.5</v>
      </c>
    </row>
    <row r="22" spans="4:7" x14ac:dyDescent="0.25">
      <c r="D22" t="str">
        <f t="shared" si="0"/>
        <v>Agressivo-TIJOLO</v>
      </c>
      <c r="E22" t="s">
        <v>34</v>
      </c>
      <c r="F22" t="s">
        <v>24</v>
      </c>
      <c r="G22" s="40">
        <v>0.1</v>
      </c>
    </row>
    <row r="23" spans="4:7" x14ac:dyDescent="0.25">
      <c r="D23" t="str">
        <f t="shared" si="0"/>
        <v>Agressivo-HÍBRIDOS</v>
      </c>
      <c r="E23" t="s">
        <v>34</v>
      </c>
      <c r="F23" t="s">
        <v>25</v>
      </c>
      <c r="G23" s="40">
        <v>0.05</v>
      </c>
    </row>
    <row r="24" spans="4:7" x14ac:dyDescent="0.25">
      <c r="D24" t="str">
        <f t="shared" si="0"/>
        <v>Agressivo-FOFs</v>
      </c>
      <c r="E24" t="s">
        <v>34</v>
      </c>
      <c r="F24" t="s">
        <v>26</v>
      </c>
      <c r="G24" s="40">
        <v>0.05</v>
      </c>
    </row>
    <row r="25" spans="4:7" x14ac:dyDescent="0.25">
      <c r="D25" t="str">
        <f t="shared" si="0"/>
        <v>Agressivo-DESENVOLVIMENTO</v>
      </c>
      <c r="E25" t="s">
        <v>34</v>
      </c>
      <c r="F25" t="s">
        <v>27</v>
      </c>
      <c r="G25" s="40">
        <v>0.2</v>
      </c>
    </row>
    <row r="26" spans="4:7" x14ac:dyDescent="0.25">
      <c r="D26" t="str">
        <f t="shared" si="0"/>
        <v>Agressivo-HOTELARIAS</v>
      </c>
      <c r="E26" t="s">
        <v>34</v>
      </c>
      <c r="F26" t="s">
        <v>28</v>
      </c>
      <c r="G26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dividendos</vt:lpstr>
      <vt:lpstr>patrimonio</vt:lpstr>
      <vt:lpstr>qtd_anos</vt:lpstr>
      <vt:lpstr>rendimento_carteira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Costa</dc:creator>
  <cp:lastModifiedBy>Hudson Costa</cp:lastModifiedBy>
  <dcterms:created xsi:type="dcterms:W3CDTF">2025-12-31T14:35:25Z</dcterms:created>
  <dcterms:modified xsi:type="dcterms:W3CDTF">2026-01-05T19:00:26Z</dcterms:modified>
</cp:coreProperties>
</file>